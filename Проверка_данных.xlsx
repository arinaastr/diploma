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КВН\Desktop\СПСиГП\НИР\19РЭШ\11_этап\"/>
    </mc:Choice>
  </mc:AlternateContent>
  <xr:revisionPtr revIDLastSave="0" documentId="13_ncr:1_{AA80872D-3933-45F4-B07D-D810D71C49CD}" xr6:coauthVersionLast="47" xr6:coauthVersionMax="47" xr10:uidLastSave="{00000000-0000-0000-0000-000000000000}"/>
  <bookViews>
    <workbookView xWindow="-120" yWindow="-120" windowWidth="29040" windowHeight="15720" xr2:uid="{E4FB7C9F-CBEC-4D32-BA8F-E29E2042D7AA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 a="1"/>
  <c r="E6" i="1" s="1"/>
  <c r="F6" i="1" a="1"/>
  <c r="F6" i="1" s="1"/>
  <c r="D6" i="1" a="1"/>
  <c r="D6" i="1" s="1"/>
  <c r="AA6" i="1" s="1" a="1"/>
  <c r="AA6" i="1" s="1"/>
  <c r="AB6" i="1" s="1" a="1"/>
  <c r="AB6" i="1" s="1"/>
  <c r="AB24" i="1" s="1"/>
  <c r="AB25" i="1" s="1"/>
  <c r="AB26" i="1" s="1"/>
  <c r="C26" i="1"/>
  <c r="B26" i="1"/>
  <c r="U6" i="1" l="1" a="1"/>
  <c r="U6" i="1" s="1"/>
  <c r="R6" i="1" a="1"/>
  <c r="R6" i="1" s="1"/>
  <c r="S6" i="1" s="1" a="1"/>
  <c r="S6" i="1" s="1"/>
  <c r="S25" i="1" s="1"/>
  <c r="S26" i="1" s="1"/>
  <c r="S27" i="1" s="1"/>
  <c r="B27" i="1"/>
  <c r="C27" i="1"/>
  <c r="L6" i="1" s="1" a="1"/>
  <c r="L6" i="1" s="1"/>
  <c r="B29" i="1"/>
  <c r="C29" i="1"/>
  <c r="X6" i="1" l="1" a="1"/>
  <c r="X6" i="1" s="1"/>
  <c r="Y6" i="1" s="1" a="1"/>
  <c r="Y6" i="1" s="1"/>
  <c r="Y24" i="1" s="1"/>
  <c r="V6" i="1" a="1"/>
  <c r="V6" i="1" s="1"/>
  <c r="W6" i="1" s="1" a="1"/>
  <c r="W6" i="1" s="1"/>
  <c r="W24" i="1" s="1"/>
  <c r="O6" i="1" a="1"/>
  <c r="O6" i="1" s="1"/>
  <c r="P6" i="1" s="1" a="1"/>
  <c r="P6" i="1" s="1"/>
  <c r="P25" i="1" s="1"/>
  <c r="M6" i="1" a="1"/>
  <c r="M6" i="1" s="1"/>
  <c r="N6" i="1" s="1" a="1"/>
  <c r="N6" i="1" s="1"/>
  <c r="N25" i="1" s="1"/>
  <c r="G6" i="1" a="1"/>
  <c r="G6" i="1" s="1"/>
  <c r="X25" i="1" l="1"/>
  <c r="X26" i="1" s="1"/>
  <c r="O26" i="1"/>
  <c r="O2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<sst xmlns="http://schemas.openxmlformats.org/spreadsheetml/2006/main" count="14" uniqueCount="12">
  <si>
    <t>Номер участка</t>
  </si>
  <si>
    <t>Скорость ультразвука, м/с</t>
  </si>
  <si>
    <t>Прочность, Мпа</t>
  </si>
  <si>
    <t>a</t>
  </si>
  <si>
    <t>b</t>
  </si>
  <si>
    <t>по результатам испытаний ГОСТ 22690</t>
  </si>
  <si>
    <t>по градуировочной зависисмости</t>
  </si>
  <si>
    <t>до отбраковки</t>
  </si>
  <si>
    <t>после отбраковки</t>
  </si>
  <si>
    <t>Примечание</t>
  </si>
  <si>
    <t>S</t>
  </si>
  <si>
    <t>|Riv -Riф|/S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</si>
</sst>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1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7A46-D9B5-4204-A62B-F92FBEC085F0}">
  <dimension ref="A1:AB29"/>
  <sheetViews>
    <sheetView tabSelected="1" topLeftCell="A4" workbookViewId="0">
      <selection activeCell="F19" sqref="F19"/>
    </sheetView>
  </sheetViews>
  <sheetFormatPr defaultRowHeight="15" x14ac:dyDescent="0.25"/>
  <cols>
    <col min="2" max="2" width="12.85546875" customWidth="1"/>
    <col min="3" max="3" width="13.140625" customWidth="1"/>
    <col min="4" max="4" width="11.85546875" customWidth="1"/>
    <col min="5" max="5" width="11.7109375" customWidth="1"/>
    <col min="6" max="6" width="11.42578125" customWidth="1"/>
    <col min="7" max="7" width="11.85546875" customWidth="1"/>
    <col min="8" max="8" width="13.5703125" customWidth="1"/>
    <col min="16" max="16" width="11.85546875" customWidth="1"/>
    <col min="23" max="23" width="11.140625" customWidth="1"/>
    <col min="25" max="25" width="11.28515625" customWidth="1"/>
    <col min="28" max="28" width="9" customWidth="1"/>
  </cols>
  <sheetData>
    <row r="1" spans="1:28" x14ac:dyDescent="0.25">
      <c r="I1" s="2" t="s">
        <v>3</v>
      </c>
      <c r="J1" s="2" t="s">
        <v>4</v>
      </c>
      <c r="K1" s="2" t="s">
        <v>10</v>
      </c>
    </row>
    <row r="2" spans="1:28" x14ac:dyDescent="0.25">
      <c r="I2" s="2">
        <v>1.4500000000000001E-2</v>
      </c>
      <c r="J2" s="2">
        <v>-24.23</v>
      </c>
      <c r="K2" s="2">
        <v>4.29</v>
      </c>
    </row>
    <row r="3" spans="1:28" x14ac:dyDescent="0.25">
      <c r="A3" s="7" t="s">
        <v>0</v>
      </c>
      <c r="B3" s="7" t="s">
        <v>1</v>
      </c>
      <c r="C3" s="7" t="s">
        <v>2</v>
      </c>
      <c r="D3" s="7"/>
      <c r="E3" s="7"/>
      <c r="F3" s="7" t="s">
        <v>11</v>
      </c>
      <c r="G3" s="7"/>
      <c r="H3" s="7" t="s">
        <v>9</v>
      </c>
      <c r="I3" s="2">
        <v>1.55E-2</v>
      </c>
      <c r="J3" s="2">
        <v>-27</v>
      </c>
      <c r="K3" s="2">
        <v>3.6</v>
      </c>
    </row>
    <row r="4" spans="1:28" ht="34.5" customHeight="1" x14ac:dyDescent="0.25">
      <c r="A4" s="7"/>
      <c r="B4" s="7"/>
      <c r="C4" s="8" t="s">
        <v>5</v>
      </c>
      <c r="D4" s="7" t="s">
        <v>6</v>
      </c>
      <c r="E4" s="7"/>
      <c r="F4" s="7"/>
      <c r="G4" s="7"/>
      <c r="H4" s="7"/>
    </row>
    <row r="5" spans="1:28" ht="51.75" customHeight="1" x14ac:dyDescent="0.25">
      <c r="A5" s="7"/>
      <c r="B5" s="7"/>
      <c r="C5" s="8"/>
      <c r="D5" s="1" t="s">
        <v>7</v>
      </c>
      <c r="E5" s="1" t="s">
        <v>8</v>
      </c>
      <c r="F5" s="1" t="s">
        <v>7</v>
      </c>
      <c r="G5" s="1" t="s">
        <v>8</v>
      </c>
      <c r="H5" s="7"/>
      <c r="L5" s="2">
        <v>1</v>
      </c>
      <c r="M5" s="2">
        <v>2</v>
      </c>
      <c r="N5" s="2">
        <v>3</v>
      </c>
      <c r="O5" s="2">
        <v>4</v>
      </c>
      <c r="P5" s="2">
        <v>5</v>
      </c>
      <c r="Q5" s="2"/>
      <c r="R5" s="2">
        <v>1</v>
      </c>
      <c r="S5" s="2">
        <v>2</v>
      </c>
      <c r="T5" s="2"/>
      <c r="U5" s="2">
        <v>1</v>
      </c>
      <c r="V5" s="2">
        <v>2</v>
      </c>
      <c r="W5" s="2">
        <v>3</v>
      </c>
      <c r="X5" s="2">
        <v>4</v>
      </c>
      <c r="Y5" s="2">
        <v>5</v>
      </c>
      <c r="AA5" s="2">
        <v>1</v>
      </c>
      <c r="AB5" s="2">
        <v>2</v>
      </c>
    </row>
    <row r="6" spans="1:28" x14ac:dyDescent="0.25">
      <c r="A6" s="2">
        <v>1</v>
      </c>
      <c r="B6" s="9">
        <v>4230</v>
      </c>
      <c r="C6" s="9">
        <v>79.8</v>
      </c>
      <c r="D6" s="4" cm="1">
        <f t="array" ref="D6:D25">I2*B6:B25+J2</f>
        <v>37.105000000000004</v>
      </c>
      <c r="E6" s="4" cm="1">
        <f t="array" ref="E6:E23">I3*B6:B23+J3</f>
        <v>38.564999999999998</v>
      </c>
      <c r="F6" s="11" cm="1">
        <f t="array" ref="F6:F25">ABS(_xlfn.ANCHORARRAY(D6)-C6:C25)/K2</f>
        <v>9.9522144522144504</v>
      </c>
      <c r="G6" s="4" cm="1">
        <f t="array" ref="G6:G23">ABS(_xlfn.ANCHORARRAY(E6)-C6:C23)/K3</f>
        <v>11.454166666666666</v>
      </c>
      <c r="L6" s="4" cm="1">
        <f t="array" ref="L6:L24">C6:C24-C27</f>
        <v>28.773684210526319</v>
      </c>
      <c r="M6" s="3" cm="1">
        <f t="array" ref="M6:M24">B6:B24-B27</f>
        <v>-142.10526315789502</v>
      </c>
      <c r="N6" s="3" cm="1">
        <f t="array" ref="N6:N24">L6:L24*M6:M24</f>
        <v>-4088.8919667590117</v>
      </c>
      <c r="O6" s="3" cm="1">
        <f t="array" ref="O6:O24">B6:B24-B27</f>
        <v>-142.10526315789502</v>
      </c>
      <c r="P6" s="3" cm="1">
        <f t="array" ref="P6:P24">POWER(_xlfn.ANCHORARRAY(O6),2)</f>
        <v>20193.905817174596</v>
      </c>
      <c r="R6" s="3" cm="1">
        <f t="array" ref="R6:R24">C6:C24-D6:D24</f>
        <v>42.694999999999993</v>
      </c>
      <c r="S6" s="3" cm="1">
        <f t="array" ref="S6:S24">POWER(R6:R24,2)</f>
        <v>1822.8630249999994</v>
      </c>
      <c r="U6" s="3" cm="1">
        <f t="array" ref="U6:U23">D6:D23-C29</f>
        <v>11.777222222222228</v>
      </c>
      <c r="V6" s="3" cm="1">
        <f t="array" ref="V6:V23">B6:B23-B29</f>
        <v>854.44444444444434</v>
      </c>
      <c r="W6" s="3" cm="1">
        <f t="array" ref="W6:W23">U6:U23*V6:V23</f>
        <v>10062.982098765437</v>
      </c>
      <c r="X6" s="3" cm="1">
        <f t="array" ref="X6:X23">B6:B23-B29</f>
        <v>854.44444444444434</v>
      </c>
      <c r="Y6" s="3" cm="1">
        <f t="array" ref="Y6:Y23">POWER(X6:X23,2)</f>
        <v>730075.30864197516</v>
      </c>
      <c r="AA6" s="3" cm="1">
        <f t="array" ref="AA6:AA23">C6:C23-D6:D23</f>
        <v>42.694999999999993</v>
      </c>
      <c r="AB6" s="3" cm="1">
        <f t="array" ref="AB6:AB23">POWER(AA6:AA23,2)</f>
        <v>1822.8630249999994</v>
      </c>
    </row>
    <row r="7" spans="1:28" x14ac:dyDescent="0.25">
      <c r="A7" s="2">
        <v>2</v>
      </c>
      <c r="B7" s="9">
        <v>3880</v>
      </c>
      <c r="C7" s="9">
        <v>61.7</v>
      </c>
      <c r="D7" s="4">
        <v>32.03</v>
      </c>
      <c r="E7" s="4">
        <v>33.14</v>
      </c>
      <c r="F7" s="11">
        <v>6.9160839160839167</v>
      </c>
      <c r="G7" s="4">
        <v>7.9333333333333336</v>
      </c>
      <c r="L7" s="4">
        <v>10.673684210526325</v>
      </c>
      <c r="M7" s="3">
        <v>-492.10526315789502</v>
      </c>
      <c r="N7" s="3">
        <v>-5252.5761772853266</v>
      </c>
      <c r="O7" s="3">
        <v>-492.10526315789502</v>
      </c>
      <c r="P7" s="3">
        <v>242167.59002770111</v>
      </c>
      <c r="R7" s="3">
        <v>29.67</v>
      </c>
      <c r="S7" s="3">
        <v>880.30890000000011</v>
      </c>
      <c r="U7" s="3">
        <v>6.7022222222222254</v>
      </c>
      <c r="V7" s="3">
        <v>504.44444444444434</v>
      </c>
      <c r="W7" s="3">
        <v>3380.8987654320995</v>
      </c>
      <c r="X7" s="3">
        <v>504.44444444444434</v>
      </c>
      <c r="Y7" s="3">
        <v>254464.1975308641</v>
      </c>
      <c r="AA7" s="3">
        <v>29.67</v>
      </c>
      <c r="AB7" s="3">
        <v>880.30890000000011</v>
      </c>
    </row>
    <row r="8" spans="1:28" x14ac:dyDescent="0.25">
      <c r="A8" s="2">
        <v>3</v>
      </c>
      <c r="B8" s="9">
        <v>4370</v>
      </c>
      <c r="C8" s="9">
        <v>58.5</v>
      </c>
      <c r="D8" s="4">
        <v>39.135000000000005</v>
      </c>
      <c r="E8" s="4">
        <v>40.734999999999999</v>
      </c>
      <c r="F8" s="11">
        <v>4.5139860139860124</v>
      </c>
      <c r="G8" s="4">
        <v>4.9347222222222227</v>
      </c>
      <c r="L8" s="4">
        <v>7.4736842105263221</v>
      </c>
      <c r="M8" s="3">
        <v>-2.1052631578950241</v>
      </c>
      <c r="N8" s="3">
        <v>-15.734072022162824</v>
      </c>
      <c r="O8" s="3">
        <v>-2.1052631578950241</v>
      </c>
      <c r="P8" s="3">
        <v>4.4321329639901288</v>
      </c>
      <c r="R8" s="3">
        <v>19.364999999999995</v>
      </c>
      <c r="S8" s="3">
        <v>375.00322499999982</v>
      </c>
      <c r="U8" s="3">
        <v>13.807222222222229</v>
      </c>
      <c r="V8" s="3">
        <v>994.44444444444434</v>
      </c>
      <c r="W8" s="3">
        <v>13730.515432098771</v>
      </c>
      <c r="X8" s="3">
        <v>994.44444444444434</v>
      </c>
      <c r="Y8" s="3">
        <v>988919.75308641954</v>
      </c>
      <c r="AA8" s="3">
        <v>19.364999999999995</v>
      </c>
      <c r="AB8" s="3">
        <v>375.00322499999982</v>
      </c>
    </row>
    <row r="9" spans="1:28" x14ac:dyDescent="0.25">
      <c r="A9" s="2">
        <v>4</v>
      </c>
      <c r="B9" s="9">
        <v>4230</v>
      </c>
      <c r="C9" s="9">
        <v>55.2</v>
      </c>
      <c r="D9" s="4">
        <v>37.105000000000004</v>
      </c>
      <c r="E9" s="4">
        <v>38.564999999999998</v>
      </c>
      <c r="F9" s="11">
        <v>4.2179487179487181</v>
      </c>
      <c r="G9" s="4">
        <v>4.6208333333333345</v>
      </c>
      <c r="L9" s="4">
        <v>4.173684210526325</v>
      </c>
      <c r="M9" s="3">
        <v>-142.10526315789502</v>
      </c>
      <c r="N9" s="3">
        <v>-593.10249307479478</v>
      </c>
      <c r="O9" s="3">
        <v>-142.10526315789502</v>
      </c>
      <c r="P9" s="3">
        <v>20193.905817174596</v>
      </c>
      <c r="R9" s="3">
        <v>18.094999999999999</v>
      </c>
      <c r="S9" s="3">
        <v>327.42902499999997</v>
      </c>
      <c r="U9" s="3">
        <v>11.777222222222228</v>
      </c>
      <c r="V9" s="3">
        <v>854.44444444444434</v>
      </c>
      <c r="W9" s="3">
        <v>10062.982098765437</v>
      </c>
      <c r="X9" s="3">
        <v>854.44444444444434</v>
      </c>
      <c r="Y9" s="3">
        <v>730075.30864197516</v>
      </c>
      <c r="AA9" s="3">
        <v>18.094999999999999</v>
      </c>
      <c r="AB9" s="3">
        <v>327.42902499999997</v>
      </c>
    </row>
    <row r="10" spans="1:28" x14ac:dyDescent="0.25">
      <c r="A10" s="2">
        <v>5</v>
      </c>
      <c r="B10" s="9">
        <v>4220</v>
      </c>
      <c r="C10" s="9">
        <v>63.4</v>
      </c>
      <c r="D10" s="4">
        <v>36.960000000000008</v>
      </c>
      <c r="E10" s="4">
        <v>38.409999999999997</v>
      </c>
      <c r="F10" s="11">
        <v>6.163170163170161</v>
      </c>
      <c r="G10" s="4">
        <v>6.9416666666666673</v>
      </c>
      <c r="L10" s="4">
        <v>12.373684210526321</v>
      </c>
      <c r="M10" s="3">
        <v>-152.10526315789502</v>
      </c>
      <c r="N10" s="3">
        <v>-1882.1024930747965</v>
      </c>
      <c r="O10" s="3">
        <v>-152.10526315789502</v>
      </c>
      <c r="P10" s="3">
        <v>23136.011080332497</v>
      </c>
      <c r="R10" s="3">
        <v>26.439999999999991</v>
      </c>
      <c r="S10" s="3">
        <v>699.07359999999949</v>
      </c>
      <c r="U10" s="3">
        <v>11.632222222222232</v>
      </c>
      <c r="V10" s="3">
        <v>844.44444444444434</v>
      </c>
      <c r="W10" s="3">
        <v>9822.7654320987731</v>
      </c>
      <c r="X10" s="3">
        <v>844.44444444444434</v>
      </c>
      <c r="Y10" s="3">
        <v>713086.41975308629</v>
      </c>
      <c r="AA10" s="3">
        <v>26.439999999999991</v>
      </c>
      <c r="AB10" s="3">
        <v>699.07359999999949</v>
      </c>
    </row>
    <row r="11" spans="1:28" x14ac:dyDescent="0.25">
      <c r="A11" s="2">
        <v>6</v>
      </c>
      <c r="B11" s="9">
        <v>4240</v>
      </c>
      <c r="C11" s="9">
        <v>51.8</v>
      </c>
      <c r="D11" s="4">
        <v>37.25</v>
      </c>
      <c r="E11" s="4">
        <v>38.72</v>
      </c>
      <c r="F11" s="11">
        <v>3.3916083916083908</v>
      </c>
      <c r="G11" s="4">
        <v>3.6333333333333329</v>
      </c>
      <c r="L11" s="4">
        <v>0.7736842105263193</v>
      </c>
      <c r="M11" s="3">
        <v>-132.10526315789502</v>
      </c>
      <c r="N11" s="3">
        <v>-102.20775623268767</v>
      </c>
      <c r="O11" s="3">
        <v>-132.10526315789502</v>
      </c>
      <c r="P11" s="3">
        <v>17451.800554016696</v>
      </c>
      <c r="R11" s="3">
        <v>14.549999999999997</v>
      </c>
      <c r="S11" s="3">
        <v>211.70249999999993</v>
      </c>
      <c r="U11" s="3">
        <v>11.922222222222224</v>
      </c>
      <c r="V11" s="3">
        <v>864.44444444444434</v>
      </c>
      <c r="W11" s="3">
        <v>10306.0987654321</v>
      </c>
      <c r="X11" s="3">
        <v>864.44444444444434</v>
      </c>
      <c r="Y11" s="3">
        <v>747264.19753086404</v>
      </c>
      <c r="AA11" s="3">
        <v>14.549999999999997</v>
      </c>
      <c r="AB11" s="3">
        <v>211.70249999999993</v>
      </c>
    </row>
    <row r="12" spans="1:28" x14ac:dyDescent="0.25">
      <c r="A12" s="2">
        <v>7</v>
      </c>
      <c r="B12" s="9">
        <v>4340</v>
      </c>
      <c r="C12" s="9">
        <v>60.1</v>
      </c>
      <c r="D12" s="4">
        <v>38.700000000000003</v>
      </c>
      <c r="E12" s="4">
        <v>40.269999999999996</v>
      </c>
      <c r="F12" s="11">
        <v>4.9883449883449877</v>
      </c>
      <c r="G12" s="4">
        <v>5.5083333333333346</v>
      </c>
      <c r="L12" s="4">
        <v>9.0736842105263236</v>
      </c>
      <c r="M12" s="3">
        <v>-32.105263157895024</v>
      </c>
      <c r="N12" s="3">
        <v>-291.3130193905846</v>
      </c>
      <c r="O12" s="3">
        <v>-32.105263157895024</v>
      </c>
      <c r="P12" s="3">
        <v>1030.7479224376916</v>
      </c>
      <c r="R12" s="3">
        <v>21.4</v>
      </c>
      <c r="S12" s="3">
        <v>457.95999999999992</v>
      </c>
      <c r="U12" s="3">
        <v>13.372222222222227</v>
      </c>
      <c r="V12" s="3">
        <v>964.44444444444434</v>
      </c>
      <c r="W12" s="3">
        <v>12896.765432098769</v>
      </c>
      <c r="X12" s="3">
        <v>964.44444444444434</v>
      </c>
      <c r="Y12" s="3">
        <v>930153.08641975292</v>
      </c>
      <c r="AA12" s="3">
        <v>21.4</v>
      </c>
      <c r="AB12" s="3">
        <v>457.95999999999992</v>
      </c>
    </row>
    <row r="13" spans="1:28" x14ac:dyDescent="0.25">
      <c r="A13" s="2">
        <v>8</v>
      </c>
      <c r="B13" s="9">
        <v>4220</v>
      </c>
      <c r="C13" s="9">
        <v>49.2</v>
      </c>
      <c r="D13" s="4">
        <v>36.960000000000008</v>
      </c>
      <c r="E13" s="4">
        <v>38.409999999999997</v>
      </c>
      <c r="F13" s="11">
        <v>2.853146853146852</v>
      </c>
      <c r="G13" s="4">
        <v>2.997222222222224</v>
      </c>
      <c r="L13" s="4">
        <v>-1.826315789473675</v>
      </c>
      <c r="M13" s="3">
        <v>-152.10526315789502</v>
      </c>
      <c r="N13" s="3">
        <v>277.79224376731213</v>
      </c>
      <c r="O13" s="3">
        <v>-152.10526315789502</v>
      </c>
      <c r="P13" s="3">
        <v>23136.011080332497</v>
      </c>
      <c r="R13" s="3">
        <v>12.239999999999995</v>
      </c>
      <c r="S13" s="3">
        <v>149.81759999999989</v>
      </c>
      <c r="U13" s="3">
        <v>11.632222222222232</v>
      </c>
      <c r="V13" s="3">
        <v>844.44444444444434</v>
      </c>
      <c r="W13" s="3">
        <v>9822.7654320987731</v>
      </c>
      <c r="X13" s="3">
        <v>844.44444444444434</v>
      </c>
      <c r="Y13" s="3">
        <v>713086.41975308629</v>
      </c>
      <c r="AA13" s="3">
        <v>12.239999999999995</v>
      </c>
      <c r="AB13" s="3">
        <v>149.81759999999989</v>
      </c>
    </row>
    <row r="14" spans="1:28" x14ac:dyDescent="0.25">
      <c r="A14" s="2">
        <v>9</v>
      </c>
      <c r="B14" s="9">
        <v>4070</v>
      </c>
      <c r="C14" s="10">
        <v>49.2</v>
      </c>
      <c r="D14" s="4">
        <v>34.784999999999997</v>
      </c>
      <c r="E14" s="4">
        <v>36.085000000000001</v>
      </c>
      <c r="F14" s="11">
        <v>3.3601398601398618</v>
      </c>
      <c r="G14" s="4">
        <v>3.6430555555555562</v>
      </c>
      <c r="L14" s="4">
        <v>-1.826315789473675</v>
      </c>
      <c r="M14" s="3">
        <v>-302.10526315789502</v>
      </c>
      <c r="N14" s="3">
        <v>551.73961218836337</v>
      </c>
      <c r="O14" s="3">
        <v>-302.10526315789502</v>
      </c>
      <c r="P14" s="3">
        <v>91267.590027701008</v>
      </c>
      <c r="R14" s="3">
        <v>14.415000000000006</v>
      </c>
      <c r="S14" s="3">
        <v>207.79222500000017</v>
      </c>
      <c r="U14" s="3">
        <v>9.4572222222222209</v>
      </c>
      <c r="V14" s="3">
        <v>694.44444444444434</v>
      </c>
      <c r="W14" s="3">
        <v>6567.5154320987631</v>
      </c>
      <c r="X14" s="3">
        <v>694.44444444444434</v>
      </c>
      <c r="Y14" s="3">
        <v>482253.08641975297</v>
      </c>
      <c r="AA14" s="3">
        <v>14.415000000000006</v>
      </c>
      <c r="AB14" s="3">
        <v>207.79222500000017</v>
      </c>
    </row>
    <row r="15" spans="1:28" x14ac:dyDescent="0.25">
      <c r="A15" s="2">
        <v>10</v>
      </c>
      <c r="B15" s="9">
        <v>3980</v>
      </c>
      <c r="C15" s="10">
        <v>53.3</v>
      </c>
      <c r="D15" s="4">
        <v>33.480000000000004</v>
      </c>
      <c r="E15" s="4">
        <v>34.69</v>
      </c>
      <c r="F15" s="11">
        <v>4.6200466200466188</v>
      </c>
      <c r="G15" s="4">
        <v>5.1694444444444443</v>
      </c>
      <c r="L15" s="4">
        <v>2.2736842105263193</v>
      </c>
      <c r="M15" s="3">
        <v>-392.10526315789502</v>
      </c>
      <c r="N15" s="3">
        <v>-891.52354570637317</v>
      </c>
      <c r="O15" s="3">
        <v>-392.10526315789502</v>
      </c>
      <c r="P15" s="3">
        <v>153746.53739612212</v>
      </c>
      <c r="R15" s="3">
        <v>19.819999999999993</v>
      </c>
      <c r="S15" s="3">
        <v>392.83239999999972</v>
      </c>
      <c r="U15" s="3">
        <v>8.1522222222222283</v>
      </c>
      <c r="V15" s="3">
        <v>604.44444444444434</v>
      </c>
      <c r="W15" s="3">
        <v>4927.5654320987678</v>
      </c>
      <c r="X15" s="3">
        <v>604.44444444444434</v>
      </c>
      <c r="Y15" s="3">
        <v>365353.08641975297</v>
      </c>
      <c r="AA15" s="3">
        <v>19.819999999999993</v>
      </c>
      <c r="AB15" s="3">
        <v>392.83239999999972</v>
      </c>
    </row>
    <row r="16" spans="1:28" x14ac:dyDescent="0.25">
      <c r="A16" s="2">
        <v>11</v>
      </c>
      <c r="B16" s="9">
        <v>4220</v>
      </c>
      <c r="C16" s="10">
        <v>20.2</v>
      </c>
      <c r="D16" s="4">
        <v>36.960000000000008</v>
      </c>
      <c r="E16" s="4">
        <v>38.409999999999997</v>
      </c>
      <c r="F16" s="11">
        <v>3.9067599067599086</v>
      </c>
      <c r="G16" s="4">
        <v>5.0583333333333327</v>
      </c>
      <c r="L16" s="4">
        <v>-30.826315789473679</v>
      </c>
      <c r="M16" s="3">
        <v>-152.10526315789502</v>
      </c>
      <c r="N16" s="3">
        <v>4688.8448753462681</v>
      </c>
      <c r="O16" s="3">
        <v>-152.10526315789502</v>
      </c>
      <c r="P16" s="3">
        <v>23136.011080332497</v>
      </c>
      <c r="R16" s="3">
        <v>-16.760000000000009</v>
      </c>
      <c r="S16" s="3">
        <v>280.8976000000003</v>
      </c>
      <c r="U16" s="3">
        <v>11.632222222222232</v>
      </c>
      <c r="V16" s="3">
        <v>844.44444444444434</v>
      </c>
      <c r="W16" s="3">
        <v>9822.7654320987731</v>
      </c>
      <c r="X16" s="3">
        <v>844.44444444444434</v>
      </c>
      <c r="Y16" s="3">
        <v>713086.41975308629</v>
      </c>
      <c r="AA16" s="3">
        <v>-16.760000000000009</v>
      </c>
      <c r="AB16" s="3">
        <v>280.8976000000003</v>
      </c>
    </row>
    <row r="17" spans="1:28" x14ac:dyDescent="0.25">
      <c r="A17" s="2">
        <v>12</v>
      </c>
      <c r="B17" s="9">
        <v>3510</v>
      </c>
      <c r="C17" s="10">
        <v>22.9</v>
      </c>
      <c r="D17" s="4">
        <v>26.665000000000003</v>
      </c>
      <c r="E17" s="4">
        <v>27.405000000000001</v>
      </c>
      <c r="F17" s="4">
        <v>0.8776223776223786</v>
      </c>
      <c r="G17" s="4">
        <v>1.2513888888888896</v>
      </c>
      <c r="L17" s="4">
        <v>-28.126315789473679</v>
      </c>
      <c r="M17" s="3">
        <v>-862.10526315789502</v>
      </c>
      <c r="N17" s="3">
        <v>24247.844875346265</v>
      </c>
      <c r="O17" s="3">
        <v>-862.10526315789502</v>
      </c>
      <c r="P17" s="3">
        <v>743225.48476454348</v>
      </c>
      <c r="R17" s="3">
        <v>-3.7650000000000041</v>
      </c>
      <c r="S17" s="3">
        <v>14.175225000000031</v>
      </c>
      <c r="U17" s="3">
        <v>1.337222222222227</v>
      </c>
      <c r="V17" s="3">
        <v>134.44444444444434</v>
      </c>
      <c r="W17" s="3">
        <v>179.78209876543261</v>
      </c>
      <c r="X17" s="3">
        <v>134.44444444444434</v>
      </c>
      <c r="Y17" s="3">
        <v>18075.30864197528</v>
      </c>
      <c r="AA17" s="3">
        <v>-3.7650000000000041</v>
      </c>
      <c r="AB17" s="3">
        <v>14.175225000000031</v>
      </c>
    </row>
    <row r="18" spans="1:28" x14ac:dyDescent="0.25">
      <c r="A18" s="2">
        <v>13</v>
      </c>
      <c r="B18" s="9">
        <v>4245</v>
      </c>
      <c r="C18" s="9">
        <v>50.5</v>
      </c>
      <c r="D18" s="4">
        <v>37.322500000000005</v>
      </c>
      <c r="E18" s="4">
        <v>38.797499999999999</v>
      </c>
      <c r="F18" s="11">
        <v>3.0716783216783203</v>
      </c>
      <c r="G18" s="4">
        <v>3.2506944444444446</v>
      </c>
      <c r="L18" s="4">
        <v>-0.52631578947367785</v>
      </c>
      <c r="M18" s="3">
        <v>-127.10526315789502</v>
      </c>
      <c r="N18" s="3">
        <v>66.897506925207097</v>
      </c>
      <c r="O18" s="3">
        <v>-127.10526315789502</v>
      </c>
      <c r="P18" s="3">
        <v>16155.747922437746</v>
      </c>
      <c r="R18" s="3">
        <v>13.177499999999995</v>
      </c>
      <c r="S18" s="3">
        <v>173.64650624999987</v>
      </c>
      <c r="U18" s="3">
        <v>11.994722222222229</v>
      </c>
      <c r="V18" s="3">
        <v>869.44444444444434</v>
      </c>
      <c r="W18" s="3">
        <v>10428.744598765437</v>
      </c>
      <c r="X18" s="3">
        <v>869.44444444444434</v>
      </c>
      <c r="Y18" s="3">
        <v>755933.64197530842</v>
      </c>
      <c r="AA18" s="3">
        <v>13.177499999999995</v>
      </c>
      <c r="AB18" s="3">
        <v>173.64650624999987</v>
      </c>
    </row>
    <row r="19" spans="1:28" x14ac:dyDescent="0.25">
      <c r="A19" s="2">
        <v>14</v>
      </c>
      <c r="B19" s="9">
        <v>4000</v>
      </c>
      <c r="C19" s="9">
        <v>45.2</v>
      </c>
      <c r="D19" s="4">
        <v>33.769999999999996</v>
      </c>
      <c r="E19" s="4">
        <v>35</v>
      </c>
      <c r="F19" s="11">
        <v>2.6643356643356659</v>
      </c>
      <c r="G19" s="4">
        <v>2.8333333333333339</v>
      </c>
      <c r="L19" s="4">
        <v>-5.826315789473675</v>
      </c>
      <c r="M19" s="3">
        <v>-372.10526315789502</v>
      </c>
      <c r="N19" s="3">
        <v>2168.0027700831006</v>
      </c>
      <c r="O19" s="3">
        <v>-372.10526315789502</v>
      </c>
      <c r="P19" s="3">
        <v>138462.3268698063</v>
      </c>
      <c r="R19" s="3">
        <v>11.430000000000007</v>
      </c>
      <c r="S19" s="3">
        <v>130.64490000000015</v>
      </c>
      <c r="U19" s="3">
        <v>8.4422222222222203</v>
      </c>
      <c r="V19" s="3">
        <v>624.44444444444434</v>
      </c>
      <c r="W19" s="3">
        <v>5271.6987654320965</v>
      </c>
      <c r="X19" s="3">
        <v>624.44444444444434</v>
      </c>
      <c r="Y19" s="3">
        <v>389930.86419753073</v>
      </c>
      <c r="AA19" s="3">
        <v>11.430000000000007</v>
      </c>
      <c r="AB19" s="3">
        <v>130.64490000000015</v>
      </c>
    </row>
    <row r="20" spans="1:28" x14ac:dyDescent="0.25">
      <c r="A20" s="2">
        <v>15</v>
      </c>
      <c r="B20" s="9">
        <v>4040</v>
      </c>
      <c r="C20" s="9">
        <v>39.799999999999997</v>
      </c>
      <c r="D20" s="4">
        <v>34.350000000000009</v>
      </c>
      <c r="E20" s="4">
        <v>35.619999999999997</v>
      </c>
      <c r="F20" s="4">
        <v>1.2703962703962677</v>
      </c>
      <c r="G20" s="4">
        <v>1.161111111111111</v>
      </c>
      <c r="L20" s="4">
        <v>-11.226315789473681</v>
      </c>
      <c r="M20" s="3">
        <v>-332.10526315789502</v>
      </c>
      <c r="N20" s="3">
        <v>3728.3185595567888</v>
      </c>
      <c r="O20" s="3">
        <v>-332.10526315789502</v>
      </c>
      <c r="P20" s="3">
        <v>110293.9058171747</v>
      </c>
      <c r="R20" s="3">
        <v>5.4499999999999886</v>
      </c>
      <c r="S20" s="3">
        <v>29.702499999999876</v>
      </c>
      <c r="U20" s="3">
        <v>9.0222222222222328</v>
      </c>
      <c r="V20" s="3">
        <v>664.44444444444434</v>
      </c>
      <c r="W20" s="3">
        <v>5994.7654320987713</v>
      </c>
      <c r="X20" s="3">
        <v>664.44444444444434</v>
      </c>
      <c r="Y20" s="3">
        <v>441486.41975308629</v>
      </c>
      <c r="AA20" s="3">
        <v>5.4499999999999886</v>
      </c>
      <c r="AB20" s="3">
        <v>29.702499999999876</v>
      </c>
    </row>
    <row r="21" spans="1:28" x14ac:dyDescent="0.25">
      <c r="A21" s="2">
        <v>16</v>
      </c>
      <c r="B21" s="9">
        <v>4170</v>
      </c>
      <c r="C21" s="9">
        <v>42.5</v>
      </c>
      <c r="D21" s="4">
        <v>36.234999999999999</v>
      </c>
      <c r="E21" s="4">
        <v>37.635000000000005</v>
      </c>
      <c r="F21" s="4">
        <v>1.4603729603729605</v>
      </c>
      <c r="G21" s="4">
        <v>1.3513888888888874</v>
      </c>
      <c r="L21" s="4">
        <v>-8.5263157894736779</v>
      </c>
      <c r="M21" s="3">
        <v>-202.10526315789502</v>
      </c>
      <c r="N21" s="3">
        <v>1723.2132963988931</v>
      </c>
      <c r="O21" s="3">
        <v>-202.10526315789502</v>
      </c>
      <c r="P21" s="3">
        <v>40846.537396122003</v>
      </c>
      <c r="R21" s="3">
        <v>6.2650000000000006</v>
      </c>
      <c r="S21" s="3">
        <v>39.250225000000007</v>
      </c>
      <c r="U21" s="3">
        <v>10.907222222222224</v>
      </c>
      <c r="V21" s="3">
        <v>794.44444444444434</v>
      </c>
      <c r="W21" s="3">
        <v>8665.1820987654319</v>
      </c>
      <c r="X21" s="3">
        <v>794.44444444444434</v>
      </c>
      <c r="Y21" s="3">
        <v>631141.97530864179</v>
      </c>
      <c r="AA21" s="3">
        <v>6.2650000000000006</v>
      </c>
      <c r="AB21" s="3">
        <v>39.250225000000007</v>
      </c>
    </row>
    <row r="22" spans="1:28" x14ac:dyDescent="0.25">
      <c r="A22" s="2">
        <v>17</v>
      </c>
      <c r="B22" s="9">
        <v>4430</v>
      </c>
      <c r="C22" s="9">
        <v>42.3</v>
      </c>
      <c r="D22" s="4">
        <v>40.004999999999995</v>
      </c>
      <c r="E22" s="4">
        <v>41.665000000000006</v>
      </c>
      <c r="F22" s="4">
        <v>0.53496503496503534</v>
      </c>
      <c r="G22" s="4">
        <v>0.17638888888888635</v>
      </c>
      <c r="L22" s="4">
        <v>-8.7263157894736807</v>
      </c>
      <c r="M22" s="3">
        <v>57.894736842104976</v>
      </c>
      <c r="N22" s="3">
        <v>-505.20775623268429</v>
      </c>
      <c r="O22" s="3">
        <v>57.894736842104976</v>
      </c>
      <c r="P22" s="3">
        <v>3351.8005540165873</v>
      </c>
      <c r="R22" s="3">
        <v>2.2950000000000017</v>
      </c>
      <c r="S22" s="3">
        <v>5.2670250000000074</v>
      </c>
      <c r="U22" s="3">
        <v>14.67722222222222</v>
      </c>
      <c r="V22" s="3">
        <v>1054.4444444444443</v>
      </c>
      <c r="W22" s="3">
        <v>15476.315432098761</v>
      </c>
      <c r="X22" s="3">
        <v>1054.4444444444443</v>
      </c>
      <c r="Y22" s="3">
        <v>1111853.0864197528</v>
      </c>
      <c r="AA22" s="3">
        <v>2.2950000000000017</v>
      </c>
      <c r="AB22" s="3">
        <v>5.2670250000000074</v>
      </c>
    </row>
    <row r="23" spans="1:28" x14ac:dyDescent="0.25">
      <c r="A23" s="2">
        <v>18</v>
      </c>
      <c r="B23" s="9">
        <v>4185</v>
      </c>
      <c r="C23" s="9">
        <v>42.6</v>
      </c>
      <c r="D23" s="4">
        <v>36.452500000000001</v>
      </c>
      <c r="E23" s="4">
        <v>37.867499999999993</v>
      </c>
      <c r="F23" s="4">
        <v>1.4329836829836831</v>
      </c>
      <c r="G23" s="4">
        <v>1.3145833333333357</v>
      </c>
      <c r="L23" s="4">
        <v>-8.4263157894736764</v>
      </c>
      <c r="M23" s="3">
        <v>-187.10526315789502</v>
      </c>
      <c r="N23" s="3">
        <v>1576.6080332409981</v>
      </c>
      <c r="O23" s="3">
        <v>-187.10526315789502</v>
      </c>
      <c r="P23" s="3">
        <v>35008.379501385149</v>
      </c>
      <c r="R23" s="3">
        <v>6.1475000000000009</v>
      </c>
      <c r="S23" s="3">
        <v>37.791756250000013</v>
      </c>
      <c r="U23" s="3">
        <v>11.124722222222225</v>
      </c>
      <c r="V23" s="3">
        <v>809.44444444444434</v>
      </c>
      <c r="W23" s="3">
        <v>9004.8445987654322</v>
      </c>
      <c r="X23" s="3">
        <v>809.44444444444434</v>
      </c>
      <c r="Y23" s="3">
        <v>655200.30864197516</v>
      </c>
      <c r="AA23" s="3">
        <v>6.1475000000000009</v>
      </c>
      <c r="AB23" s="3">
        <v>37.791756250000013</v>
      </c>
    </row>
    <row r="24" spans="1:28" x14ac:dyDescent="0.25">
      <c r="A24" s="2">
        <v>19</v>
      </c>
      <c r="B24" s="9">
        <v>4285</v>
      </c>
      <c r="C24" s="9">
        <v>37.5</v>
      </c>
      <c r="D24" s="4">
        <v>37.902500000000003</v>
      </c>
      <c r="F24" s="4">
        <v>9.3822843822844615E-2</v>
      </c>
      <c r="L24" s="4">
        <v>-13.526315789473678</v>
      </c>
      <c r="M24" s="3">
        <v>-87.105263157895024</v>
      </c>
      <c r="N24" s="3">
        <v>1178.2132963988954</v>
      </c>
      <c r="O24" s="3">
        <v>-87.105263157895024</v>
      </c>
      <c r="P24" s="3">
        <v>7587.3268698061438</v>
      </c>
      <c r="R24" s="3">
        <v>-0.40250000000000341</v>
      </c>
      <c r="S24" s="3">
        <v>0.16200625000000274</v>
      </c>
      <c r="W24" s="3">
        <f>SUM(W6:W23)</f>
        <v>156424.9527777778</v>
      </c>
      <c r="Y24" s="3">
        <f>SUM(Y6:Y23)</f>
        <v>11371438.888888886</v>
      </c>
      <c r="AB24" s="3">
        <f>SUM(AB6:AB23)</f>
        <v>6236.1582374999998</v>
      </c>
    </row>
    <row r="25" spans="1:28" x14ac:dyDescent="0.25">
      <c r="A25" s="2">
        <v>20</v>
      </c>
      <c r="B25" s="9">
        <v>4205</v>
      </c>
      <c r="C25" s="9">
        <v>43.8</v>
      </c>
      <c r="D25" s="4">
        <v>36.742500000000007</v>
      </c>
      <c r="F25" s="4">
        <v>1.6451048951048928</v>
      </c>
      <c r="N25" s="3">
        <f>SUM(N6:N24)</f>
        <v>26584.815789473665</v>
      </c>
      <c r="P25" s="3">
        <f>SUM(P6:P24)</f>
        <v>1710396.0526315812</v>
      </c>
      <c r="S25" s="3">
        <f>SUM(S6:S24)</f>
        <v>6236.3202437499995</v>
      </c>
      <c r="X25">
        <f>W24/Y24</f>
        <v>1.3755950703003974E-2</v>
      </c>
      <c r="AB25" s="3">
        <f>AB24/16</f>
        <v>389.75988984374999</v>
      </c>
    </row>
    <row r="26" spans="1:28" x14ac:dyDescent="0.25">
      <c r="A26" s="2"/>
      <c r="B26" s="2">
        <f>SUM(B6:B25)</f>
        <v>83070</v>
      </c>
      <c r="C26" s="4">
        <f>SUM(C6:C25)</f>
        <v>969.49999999999989</v>
      </c>
      <c r="O26" s="6">
        <f>N25/P25</f>
        <v>1.5543075972708658E-2</v>
      </c>
      <c r="S26" s="3">
        <f>S25/17</f>
        <v>366.84236727941175</v>
      </c>
      <c r="X26" s="3">
        <f>C29-X25*B29</f>
        <v>-21.106198039695641</v>
      </c>
      <c r="AB26" s="3">
        <f>SQRT(AB25)</f>
        <v>19.742337496956889</v>
      </c>
    </row>
    <row r="27" spans="1:28" x14ac:dyDescent="0.25">
      <c r="B27" s="5">
        <f>B26/19</f>
        <v>4372.105263157895</v>
      </c>
      <c r="C27" s="4">
        <f>C26/19</f>
        <v>51.026315789473678</v>
      </c>
      <c r="O27" s="3">
        <f>O26*B27-C27</f>
        <v>16.929648476468863</v>
      </c>
      <c r="S27" s="3">
        <f>SQRT(S26)</f>
        <v>19.153129438277489</v>
      </c>
    </row>
    <row r="28" spans="1:28" x14ac:dyDescent="0.25">
      <c r="B28" s="2">
        <v>60760</v>
      </c>
      <c r="C28" s="4">
        <v>455.9</v>
      </c>
    </row>
    <row r="29" spans="1:28" x14ac:dyDescent="0.25">
      <c r="B29" s="5">
        <f>B28/18</f>
        <v>3375.5555555555557</v>
      </c>
      <c r="C29" s="4">
        <f>C28/18</f>
        <v>25.327777777777776</v>
      </c>
    </row>
  </sheetData>
  <mergeCells count="7">
    <mergeCell ref="F3:G4"/>
    <mergeCell ref="H3:H5"/>
    <mergeCell ref="A3:A5"/>
    <mergeCell ref="B3:B5"/>
    <mergeCell ref="C3:E3"/>
    <mergeCell ref="C4:C5"/>
    <mergeCell ref="D4:E4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N. Kuznetsov</dc:creator>
  <cp:lastModifiedBy>Vladimir N. Kuznetsov</cp:lastModifiedBy>
  <dcterms:created xsi:type="dcterms:W3CDTF">2026-04-28T08:57:44Z</dcterms:created>
  <dcterms:modified xsi:type="dcterms:W3CDTF">2026-05-27T12:18:19Z</dcterms:modified>
</cp:coreProperties>
</file>